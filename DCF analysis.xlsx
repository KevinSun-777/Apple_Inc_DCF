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Project\Portfolio\AAPLE_INC_DCF_Analysis\"/>
    </mc:Choice>
  </mc:AlternateContent>
  <xr:revisionPtr revIDLastSave="0" documentId="8_{1B3A3D2C-FB9A-4BDD-9340-EF50A19AA24B}" xr6:coauthVersionLast="47" xr6:coauthVersionMax="47" xr10:uidLastSave="{00000000-0000-0000-0000-000000000000}"/>
  <bookViews>
    <workbookView xWindow="-120" yWindow="-120" windowWidth="38640" windowHeight="21240" activeTab="2" xr2:uid="{5FC4CD03-7400-417A-8FAF-8BA32B7768EB}"/>
  </bookViews>
  <sheets>
    <sheet name="Cover Page" sheetId="1" r:id="rId1"/>
    <sheet name="Historical Data " sheetId="2" r:id="rId2"/>
    <sheet name="Forecast " sheetId="3" r:id="rId3"/>
    <sheet name="DCF &amp; Sensitivity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0" i="4" l="1"/>
  <c r="AA17" i="4" s="1"/>
  <c r="AA30" i="4" s="1"/>
  <c r="P30" i="4"/>
  <c r="Z17" i="4" s="1"/>
  <c r="Z30" i="4" s="1"/>
  <c r="O30" i="4"/>
  <c r="Y17" i="4" s="1"/>
  <c r="Y30" i="4" s="1"/>
  <c r="N30" i="4"/>
  <c r="X17" i="4" s="1"/>
  <c r="X30" i="4" s="1"/>
  <c r="M30" i="4"/>
  <c r="W17" i="4" s="1"/>
  <c r="W30" i="4" s="1"/>
  <c r="Q29" i="4"/>
  <c r="AA16" i="4" s="1"/>
  <c r="AA29" i="4" s="1"/>
  <c r="P29" i="4"/>
  <c r="Z16" i="4" s="1"/>
  <c r="Z29" i="4" s="1"/>
  <c r="O29" i="4"/>
  <c r="Y16" i="4" s="1"/>
  <c r="Y29" i="4" s="1"/>
  <c r="N29" i="4"/>
  <c r="X16" i="4" s="1"/>
  <c r="X29" i="4" s="1"/>
  <c r="M29" i="4"/>
  <c r="W16" i="4" s="1"/>
  <c r="W29" i="4" s="1"/>
  <c r="Q28" i="4"/>
  <c r="AA15" i="4" s="1"/>
  <c r="AA28" i="4" s="1"/>
  <c r="P28" i="4"/>
  <c r="Z15" i="4" s="1"/>
  <c r="Z28" i="4" s="1"/>
  <c r="O28" i="4"/>
  <c r="Y15" i="4" s="1"/>
  <c r="Y28" i="4" s="1"/>
  <c r="N28" i="4"/>
  <c r="X15" i="4" s="1"/>
  <c r="X28" i="4" s="1"/>
  <c r="M28" i="4"/>
  <c r="W15" i="4" s="1"/>
  <c r="W28" i="4" s="1"/>
  <c r="Q27" i="4"/>
  <c r="AA14" i="4" s="1"/>
  <c r="AA27" i="4" s="1"/>
  <c r="P27" i="4"/>
  <c r="Z14" i="4" s="1"/>
  <c r="Z27" i="4" s="1"/>
  <c r="O27" i="4"/>
  <c r="Y14" i="4" s="1"/>
  <c r="Y27" i="4" s="1"/>
  <c r="N27" i="4"/>
  <c r="X14" i="4" s="1"/>
  <c r="X27" i="4" s="1"/>
  <c r="M27" i="4"/>
  <c r="W14" i="4" s="1"/>
  <c r="W27" i="4" s="1"/>
  <c r="Q26" i="4"/>
  <c r="AA13" i="4" s="1"/>
  <c r="AA26" i="4" s="1"/>
  <c r="P26" i="4"/>
  <c r="Z13" i="4" s="1"/>
  <c r="Z26" i="4" s="1"/>
  <c r="O26" i="4"/>
  <c r="Y13" i="4" s="1"/>
  <c r="Y26" i="4" s="1"/>
  <c r="N26" i="4"/>
  <c r="X13" i="4" s="1"/>
  <c r="X26" i="4" s="1"/>
  <c r="M26" i="4"/>
  <c r="W13" i="4" s="1"/>
  <c r="W26" i="4" s="1"/>
  <c r="B8" i="4"/>
  <c r="H37" i="4"/>
  <c r="H31" i="4"/>
  <c r="C37" i="4"/>
  <c r="F11" i="4"/>
  <c r="D11" i="4"/>
  <c r="E11" i="4"/>
  <c r="C11" i="4"/>
  <c r="B11" i="4"/>
  <c r="D9" i="3"/>
  <c r="B4" i="3"/>
  <c r="C11" i="3"/>
  <c r="D11" i="3"/>
  <c r="B11" i="3"/>
  <c r="C9" i="3"/>
  <c r="B9" i="3"/>
  <c r="B6" i="2"/>
  <c r="C6" i="3"/>
  <c r="D6" i="3"/>
  <c r="B6" i="3"/>
  <c r="C5" i="3"/>
  <c r="D5" i="3"/>
  <c r="B5" i="3"/>
  <c r="C4" i="3"/>
  <c r="D4" i="3"/>
  <c r="E4" i="3" s="1"/>
  <c r="F4" i="3" s="1"/>
  <c r="G4" i="3" s="1"/>
  <c r="C2" i="3"/>
  <c r="D2" i="3"/>
  <c r="E2" i="3" s="1"/>
  <c r="F2" i="3" s="1"/>
  <c r="G2" i="3" s="1"/>
  <c r="H2" i="3" s="1"/>
  <c r="B2" i="3"/>
  <c r="B13" i="2"/>
  <c r="C13" i="2"/>
  <c r="D13" i="2"/>
  <c r="C11" i="2"/>
  <c r="D11" i="2"/>
  <c r="B11" i="2"/>
  <c r="C6" i="2"/>
  <c r="D6" i="2"/>
  <c r="B14" i="2"/>
  <c r="B15" i="2"/>
  <c r="B16" i="2" s="1"/>
  <c r="C15" i="2"/>
  <c r="C16" i="2" s="1"/>
  <c r="D15" i="2"/>
  <c r="D16" i="2" s="1"/>
  <c r="D8" i="3" l="1"/>
  <c r="E8" i="3" s="1"/>
  <c r="F8" i="3" s="1"/>
  <c r="G8" i="3" s="1"/>
  <c r="H8" i="3" s="1"/>
  <c r="I8" i="3" s="1"/>
  <c r="B8" i="3"/>
  <c r="C3" i="3"/>
  <c r="B10" i="3"/>
  <c r="D10" i="3"/>
  <c r="E10" i="3" s="1"/>
  <c r="F10" i="3" s="1"/>
  <c r="G10" i="3" s="1"/>
  <c r="H10" i="3" s="1"/>
  <c r="I10" i="3" s="1"/>
  <c r="C10" i="3"/>
  <c r="D7" i="3"/>
  <c r="C7" i="3"/>
  <c r="H4" i="3"/>
  <c r="I4" i="3" s="1"/>
  <c r="G5" i="3"/>
  <c r="I2" i="3"/>
  <c r="H5" i="3"/>
  <c r="H9" i="3"/>
  <c r="E9" i="3"/>
  <c r="B7" i="3"/>
  <c r="G9" i="3"/>
  <c r="E5" i="3"/>
  <c r="E7" i="3" s="1"/>
  <c r="F9" i="3"/>
  <c r="D3" i="3"/>
  <c r="C8" i="3"/>
  <c r="F5" i="3"/>
  <c r="F7" i="3" s="1"/>
  <c r="G7" i="3"/>
  <c r="H11" i="3" l="1"/>
  <c r="G11" i="3"/>
  <c r="E11" i="3"/>
  <c r="E12" i="3" s="1"/>
  <c r="B10" i="4" s="1"/>
  <c r="B12" i="4" s="1"/>
  <c r="B15" i="4" s="1"/>
  <c r="F11" i="3"/>
  <c r="I11" i="3"/>
  <c r="I5" i="3"/>
  <c r="I7" i="3" s="1"/>
  <c r="I9" i="3"/>
  <c r="G12" i="3"/>
  <c r="D10" i="4" s="1"/>
  <c r="D12" i="4" s="1"/>
  <c r="D15" i="4" s="1"/>
  <c r="F12" i="3"/>
  <c r="C10" i="4" s="1"/>
  <c r="C12" i="4" s="1"/>
  <c r="C15" i="4" s="1"/>
  <c r="H7" i="3"/>
  <c r="H12" i="3" s="1"/>
  <c r="E10" i="4" s="1"/>
  <c r="E12" i="4" s="1"/>
  <c r="E15" i="4" s="1"/>
  <c r="I12" i="3" l="1"/>
  <c r="F10" i="4" s="1"/>
  <c r="G10" i="4"/>
  <c r="F13" i="4" s="1"/>
  <c r="F14" i="4" s="1"/>
  <c r="B31" i="4" s="1"/>
  <c r="F12" i="4"/>
  <c r="F15" i="4" l="1"/>
  <c r="B30" i="4"/>
  <c r="B32" i="4" s="1"/>
  <c r="C30" i="4"/>
  <c r="C32" i="4" l="1"/>
  <c r="C31" i="4"/>
  <c r="C36" i="4"/>
  <c r="C38" i="4"/>
  <c r="H30" i="4" s="1"/>
  <c r="H32" i="4" s="1"/>
  <c r="H36" i="4" s="1"/>
  <c r="H38" i="4" s="1"/>
  <c r="L12" i="4"/>
</calcChain>
</file>

<file path=xl/sharedStrings.xml><?xml version="1.0" encoding="utf-8"?>
<sst xmlns="http://schemas.openxmlformats.org/spreadsheetml/2006/main" count="122" uniqueCount="70">
  <si>
    <t>Financial Data Presented in USD Millions</t>
  </si>
  <si>
    <t>Item</t>
  </si>
  <si>
    <t>Revenue</t>
  </si>
  <si>
    <t>EBIT</t>
  </si>
  <si>
    <t>EBIT Margin</t>
  </si>
  <si>
    <t>Net Income</t>
  </si>
  <si>
    <t>D&amp;A</t>
  </si>
  <si>
    <t>Operating Cash Flow</t>
  </si>
  <si>
    <t>Capex</t>
  </si>
  <si>
    <t xml:space="preserve">Capex % Revenue </t>
  </si>
  <si>
    <t xml:space="preserve">Cash </t>
  </si>
  <si>
    <t>FY23A</t>
  </si>
  <si>
    <t>FY24A</t>
  </si>
  <si>
    <t>FY25A</t>
  </si>
  <si>
    <t>Short Term Debt</t>
  </si>
  <si>
    <t>Long Term Debt</t>
  </si>
  <si>
    <t>Total Debt</t>
  </si>
  <si>
    <t>Net Debt</t>
  </si>
  <si>
    <t>Historical Data Between 2023 and 2025</t>
  </si>
  <si>
    <t>Revenue Growth</t>
  </si>
  <si>
    <t xml:space="preserve">EBIT  </t>
  </si>
  <si>
    <t>Tax Rate</t>
  </si>
  <si>
    <t>NOPAT</t>
  </si>
  <si>
    <t>D&amp;A % Revenue</t>
  </si>
  <si>
    <t>Capex % Revenue</t>
  </si>
  <si>
    <t>FCF</t>
  </si>
  <si>
    <t>FY26E</t>
  </si>
  <si>
    <t>FY27E</t>
  </si>
  <si>
    <t>FY28E</t>
  </si>
  <si>
    <t>FY29E</t>
  </si>
  <si>
    <t>FY30E</t>
  </si>
  <si>
    <t>Assumption</t>
  </si>
  <si>
    <t>1. Revenue Growth Assumptio</t>
  </si>
  <si>
    <t>Year</t>
  </si>
  <si>
    <t>2. EBIT Margin Assumption</t>
  </si>
  <si>
    <t>FY26E-FY30E</t>
  </si>
  <si>
    <t>3. Tax Rate Assumption</t>
  </si>
  <si>
    <t>4. D&amp;A Assumption</t>
  </si>
  <si>
    <t>5.Capex Assumption</t>
  </si>
  <si>
    <t>Value</t>
  </si>
  <si>
    <t>WACC</t>
  </si>
  <si>
    <t>Terminal Growth</t>
  </si>
  <si>
    <t xml:space="preserve">Item </t>
  </si>
  <si>
    <t>Discount Factor</t>
  </si>
  <si>
    <t>FY31E</t>
  </si>
  <si>
    <t>Equity Value</t>
  </si>
  <si>
    <t>Diluted Shares Outstanding</t>
  </si>
  <si>
    <t xml:space="preserve">Current Price </t>
  </si>
  <si>
    <t>Condition</t>
  </si>
  <si>
    <t>Terminal Value</t>
  </si>
  <si>
    <t>Total Cash Flow</t>
  </si>
  <si>
    <t>ENTERPRISE VALUE</t>
  </si>
  <si>
    <t>PV of Discrete</t>
  </si>
  <si>
    <t>PV of Terminal</t>
  </si>
  <si>
    <t>PV of Teminal</t>
  </si>
  <si>
    <t xml:space="preserve">Enterprise Value </t>
  </si>
  <si>
    <t>Less: Net Debt</t>
  </si>
  <si>
    <t>EQUITY VALUE PER SHARE</t>
  </si>
  <si>
    <t>EQUITY VALUE</t>
  </si>
  <si>
    <t>Shares Outstanding</t>
  </si>
  <si>
    <t>(USD/sh)</t>
  </si>
  <si>
    <t>PREMIUM (DISCOUNT)</t>
  </si>
  <si>
    <t>Intransic Value</t>
  </si>
  <si>
    <t>Current Price</t>
  </si>
  <si>
    <t>Premium(Discount)</t>
  </si>
  <si>
    <t>Sensitivity Analysis</t>
  </si>
  <si>
    <t>Terminal Growth Rate</t>
  </si>
  <si>
    <t>PREMIUM(DISCOUNT) TO CURRENT PRICE</t>
  </si>
  <si>
    <t>CC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</si>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</sst>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%"/>
    <numFmt numFmtId="182" formatCode="#,##0;\(#,##0\)"/>
  </numFmts>
  <fonts count="9">
    <font>
      <sz val="12"/>
      <color theme="1"/>
      <name val="Times New Roman"/>
      <family val="2"/>
      <charset val="134"/>
    </font>
    <font>
      <b/>
      <sz val="12"/>
      <color theme="1"/>
      <name val="Times New Roman"/>
      <family val="2"/>
      <charset val="134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  <charset val="134"/>
    </font>
    <font>
      <sz val="12"/>
      <color theme="7"/>
      <name val="Times New Roman"/>
      <family val="2"/>
      <charset val="134"/>
    </font>
    <font>
      <sz val="12"/>
      <color theme="2"/>
      <name val="Times New Roman"/>
      <family val="2"/>
      <charset val="134"/>
    </font>
    <font>
      <b/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4" fontId="0" fillId="0" borderId="0" xfId="0" applyNumberFormat="1"/>
    <xf numFmtId="10" fontId="0" fillId="0" borderId="0" xfId="0" applyNumberFormat="1"/>
    <xf numFmtId="170" fontId="0" fillId="0" borderId="0" xfId="0" applyNumberFormat="1"/>
    <xf numFmtId="3" fontId="0" fillId="0" borderId="0" xfId="0" applyNumberFormat="1"/>
    <xf numFmtId="1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NumberFormat="1"/>
    <xf numFmtId="170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3" fontId="0" fillId="3" borderId="4" xfId="0" applyNumberFormat="1" applyFill="1" applyBorder="1"/>
    <xf numFmtId="9" fontId="0" fillId="3" borderId="5" xfId="0" applyNumberFormat="1" applyFill="1" applyBorder="1"/>
    <xf numFmtId="3" fontId="0" fillId="3" borderId="1" xfId="0" applyNumberFormat="1" applyFill="1" applyBorder="1"/>
    <xf numFmtId="9" fontId="0" fillId="3" borderId="7" xfId="0" applyNumberFormat="1" applyFill="1" applyBorder="1"/>
    <xf numFmtId="0" fontId="4" fillId="0" borderId="0" xfId="0" applyFont="1"/>
    <xf numFmtId="0" fontId="0" fillId="0" borderId="0" xfId="0" applyBorder="1"/>
    <xf numFmtId="3" fontId="0" fillId="3" borderId="5" xfId="0" applyNumberFormat="1" applyFill="1" applyBorder="1"/>
    <xf numFmtId="3" fontId="0" fillId="3" borderId="7" xfId="0" applyNumberFormat="1" applyFill="1" applyBorder="1"/>
    <xf numFmtId="3" fontId="0" fillId="3" borderId="0" xfId="0" applyNumberFormat="1" applyFill="1" applyBorder="1"/>
    <xf numFmtId="2" fontId="0" fillId="3" borderId="7" xfId="0" applyNumberFormat="1" applyFill="1" applyBorder="1"/>
    <xf numFmtId="0" fontId="0" fillId="0" borderId="4" xfId="0" applyBorder="1"/>
    <xf numFmtId="0" fontId="0" fillId="0" borderId="1" xfId="0" applyBorder="1"/>
    <xf numFmtId="182" fontId="0" fillId="3" borderId="7" xfId="0" applyNumberFormat="1" applyFill="1" applyBorder="1"/>
    <xf numFmtId="3" fontId="0" fillId="2" borderId="10" xfId="0" applyNumberFormat="1" applyFont="1" applyFill="1" applyBorder="1"/>
    <xf numFmtId="3" fontId="0" fillId="2" borderId="5" xfId="0" applyNumberFormat="1" applyFont="1" applyFill="1" applyBorder="1"/>
    <xf numFmtId="10" fontId="0" fillId="3" borderId="7" xfId="0" applyNumberFormat="1" applyFill="1" applyBorder="1"/>
    <xf numFmtId="10" fontId="0" fillId="3" borderId="2" xfId="0" applyNumberFormat="1" applyFill="1" applyBorder="1"/>
    <xf numFmtId="10" fontId="0" fillId="3" borderId="0" xfId="0" applyNumberFormat="1" applyFill="1" applyBorder="1"/>
    <xf numFmtId="3" fontId="0" fillId="3" borderId="9" xfId="0" applyNumberFormat="1" applyFill="1" applyBorder="1"/>
    <xf numFmtId="0" fontId="5" fillId="0" borderId="1" xfId="0" applyFont="1" applyBorder="1"/>
    <xf numFmtId="10" fontId="0" fillId="3" borderId="6" xfId="0" applyNumberFormat="1" applyFill="1" applyBorder="1"/>
    <xf numFmtId="0" fontId="5" fillId="0" borderId="1" xfId="0" applyFont="1" applyBorder="1" applyAlignment="1">
      <alignment horizontal="center"/>
    </xf>
    <xf numFmtId="3" fontId="0" fillId="3" borderId="2" xfId="0" applyNumberFormat="1" applyFill="1" applyBorder="1"/>
    <xf numFmtId="10" fontId="6" fillId="0" borderId="0" xfId="0" applyNumberFormat="1" applyFont="1"/>
    <xf numFmtId="3" fontId="0" fillId="3" borderId="3" xfId="0" applyNumberFormat="1" applyFill="1" applyBorder="1"/>
    <xf numFmtId="3" fontId="0" fillId="3" borderId="6" xfId="0" applyNumberFormat="1" applyFill="1" applyBorder="1"/>
    <xf numFmtId="3" fontId="0" fillId="3" borderId="8" xfId="0" applyNumberFormat="1" applyFill="1" applyBorder="1"/>
    <xf numFmtId="3" fontId="7" fillId="3" borderId="2" xfId="0" applyNumberFormat="1" applyFont="1" applyFill="1" applyBorder="1"/>
    <xf numFmtId="0" fontId="0" fillId="0" borderId="6" xfId="0" applyBorder="1" applyAlignment="1">
      <alignment vertical="center" wrapText="1"/>
    </xf>
    <xf numFmtId="4" fontId="0" fillId="0" borderId="0" xfId="0" applyNumberFormat="1" applyBorder="1"/>
    <xf numFmtId="4" fontId="0" fillId="3" borderId="7" xfId="0" applyNumberFormat="1" applyFill="1" applyBorder="1"/>
    <xf numFmtId="4" fontId="0" fillId="3" borderId="3" xfId="0" applyNumberFormat="1" applyFill="1" applyBorder="1"/>
    <xf numFmtId="4" fontId="0" fillId="3" borderId="4" xfId="0" applyNumberFormat="1" applyFill="1" applyBorder="1"/>
    <xf numFmtId="4" fontId="0" fillId="3" borderId="5" xfId="0" applyNumberFormat="1" applyFill="1" applyBorder="1"/>
    <xf numFmtId="4" fontId="0" fillId="3" borderId="6" xfId="0" applyNumberFormat="1" applyFill="1" applyBorder="1"/>
    <xf numFmtId="4" fontId="0" fillId="3" borderId="0" xfId="0" applyNumberFormat="1" applyFill="1" applyBorder="1"/>
    <xf numFmtId="4" fontId="0" fillId="3" borderId="9" xfId="0" applyNumberFormat="1" applyFill="1" applyBorder="1"/>
    <xf numFmtId="4" fontId="0" fillId="3" borderId="2" xfId="0" applyNumberFormat="1" applyFill="1" applyBorder="1"/>
    <xf numFmtId="4" fontId="0" fillId="3" borderId="8" xfId="0" applyNumberFormat="1" applyFill="1" applyBorder="1"/>
    <xf numFmtId="4" fontId="0" fillId="3" borderId="1" xfId="0" applyNumberFormat="1" applyFill="1" applyBorder="1"/>
    <xf numFmtId="10" fontId="0" fillId="3" borderId="3" xfId="0" applyNumberFormat="1" applyFill="1" applyBorder="1"/>
    <xf numFmtId="10" fontId="0" fillId="3" borderId="4" xfId="0" applyNumberFormat="1" applyFill="1" applyBorder="1"/>
    <xf numFmtId="10" fontId="0" fillId="3" borderId="5" xfId="0" applyNumberFormat="1" applyFill="1" applyBorder="1"/>
    <xf numFmtId="10" fontId="0" fillId="3" borderId="9" xfId="0" applyNumberFormat="1" applyFill="1" applyBorder="1"/>
    <xf numFmtId="10" fontId="0" fillId="3" borderId="8" xfId="0" applyNumberFormat="1" applyFill="1" applyBorder="1"/>
    <xf numFmtId="10" fontId="0" fillId="3" borderId="1" xfId="0" applyNumberFormat="1" applyFill="1" applyBorder="1"/>
    <xf numFmtId="4" fontId="0" fillId="2" borderId="5" xfId="0" applyNumberFormat="1" applyFont="1" applyFill="1" applyBorder="1"/>
    <xf numFmtId="4" fontId="0" fillId="2" borderId="7" xfId="0" applyNumberFormat="1" applyFont="1" applyFill="1" applyBorder="1"/>
    <xf numFmtId="0" fontId="8" fillId="3" borderId="0" xfId="0" applyFont="1" applyFill="1"/>
    <xf numFmtId="0" fontId="3" fillId="3" borderId="0" xfId="0" applyFont="1" applyFill="1"/>
    <xf numFmtId="0" fontId="0" fillId="0" borderId="0" xfId="0" applyNumberFormat="1" applyAlignment="1">
      <alignment horizontal="left" textRotation="180"/>
    </xf>
  </cellXfs>
  <cellStyles count="1">
    <cellStyle name="Normal" xfId="0" builtinId="0"/>
  </cellStyles>
  <dxfs count="25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numFmt numFmtId="170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33</xdr:col>
      <xdr:colOff>676275</xdr:colOff>
      <xdr:row>47</xdr:row>
      <xdr:rowOff>152399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8B42AF-DB9A-5727-E822-EF5B9ED2C32E}"/>
            </a:ext>
          </a:extLst>
        </xdr:cNvPr>
        <xdr:cNvSpPr txBox="1"/>
      </xdr:nvSpPr>
      <xdr:spPr>
        <a:xfrm>
          <a:off x="0" y="19050"/>
          <a:ext cx="23307675" cy="95345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Discounted Cash Flow Valuation Model</a:t>
          </a:r>
        </a:p>
        <a:p>
          <a:pPr algn="ctr"/>
          <a:r>
            <a:rPr lang="en-US" sz="5400" b="1">
              <a:solidFill>
                <a:schemeClr val="dk1"/>
              </a:solidFill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APPLE INC. (NASDAQ: AAPL) -At close</a:t>
          </a:r>
          <a:r>
            <a:rPr lang="en-US" sz="5400" b="1" baseline="0">
              <a:solidFill>
                <a:schemeClr val="dk1"/>
              </a:solidFill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: $315.32</a:t>
          </a:r>
          <a:endParaRPr lang="en-US" sz="5400" b="1">
            <a:solidFill>
              <a:schemeClr val="dk1"/>
            </a:solidFill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endParaRPr lang="en-US" sz="5400" b="1">
            <a:solidFill>
              <a:schemeClr val="dk1"/>
            </a:solidFill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endParaRPr lang="en-US" sz="5400" b="1">
            <a:solidFill>
              <a:schemeClr val="dk1"/>
            </a:solidFill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endParaRPr lang="en-US" sz="5400" b="1">
            <a:solidFill>
              <a:schemeClr val="dk1"/>
            </a:solidFill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endParaRPr lang="en-US" sz="5400" b="1">
            <a:solidFill>
              <a:schemeClr val="dk1"/>
            </a:solidFill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r>
            <a:rPr lang="en-US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Historical Period: FY2023A - FY2025A </a:t>
          </a:r>
        </a:p>
        <a:p>
          <a:pPr algn="l"/>
          <a:r>
            <a:rPr lang="en-US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Forecast Period: FY2026E - FY2030E </a:t>
          </a:r>
        </a:p>
        <a:p>
          <a:pPr algn="l"/>
          <a:r>
            <a:rPr lang="en-US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Prepared by: Ji</a:t>
          </a:r>
          <a:r>
            <a:rPr lang="en-US" altLang="zh-CN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ngtao Sun (Kevin)</a:t>
          </a:r>
          <a:r>
            <a:rPr lang="en-US" altLang="zh-CN" sz="5400" b="1" baseline="0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 </a:t>
          </a:r>
          <a:endParaRPr lang="en-US" sz="5400" b="1"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  <a:p>
          <a:pPr algn="l"/>
          <a:r>
            <a:rPr lang="en-US" sz="5400" b="1">
              <a:latin typeface="Arial" panose="020B0604020202020204" pitchFamily="34" charset="0"/>
              <a:ea typeface="ADLaM Display" panose="020F0502020204030204" pitchFamily="2" charset="0"/>
              <a:cs typeface="Arial" panose="020B0604020202020204" pitchFamily="34" charset="0"/>
            </a:rPr>
            <a:t>Date: July 2026</a:t>
          </a:r>
          <a:endParaRPr lang="en-US" altLang="zh-CN" sz="2000" b="1">
            <a:latin typeface="Arial" panose="020B0604020202020204" pitchFamily="34" charset="0"/>
            <a:ea typeface="ADLaM Display" panose="020F0502020204030204" pitchFamily="2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533400</xdr:colOff>
      <xdr:row>16</xdr:row>
      <xdr:rowOff>76200</xdr:rowOff>
    </xdr:to>
    <xdr:pic>
      <xdr:nvPicPr>
        <xdr:cNvPr id="3" name="Picture 2" descr="Apple (@Apple) / Posts / X">
          <a:extLst>
            <a:ext uri="{FF2B5EF4-FFF2-40B4-BE49-F238E27FC236}">
              <a16:creationId xmlns:a16="http://schemas.microsoft.com/office/drawing/2014/main" id="{1A16FEE3-8025-FDBE-D73D-D694C645B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766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1E1F6-7E89-446B-B1E5-DDB00E8A486F}" name="Table1" displayName="Table1" ref="A3:D16" totalsRowShown="0">
  <autoFilter ref="A3:D16" xr:uid="{C791E1F6-7E89-446B-B1E5-DDB00E8A486F}"/>
  <tableColumns count="4">
    <tableColumn id="1" xr3:uid="{FDDCC674-5C9C-4218-A9EA-45DB63633167}" name="Item"/>
    <tableColumn id="2" xr3:uid="{B2B3EE4A-BE0D-47F2-9B6D-F7899B5CF63C}" name="FY23A"/>
    <tableColumn id="3" xr3:uid="{5B355D71-7839-4DED-B978-F21B310B9576}" name="FY24A"/>
    <tableColumn id="4" xr3:uid="{7DA227A1-B86B-4498-890E-ED6400EC430A}" name="FY25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EDB83-FA46-4BA0-907A-3E341078E24E}" name="Table2" displayName="Table2" ref="A1:I12" totalsRowShown="0">
  <autoFilter ref="A1:I12" xr:uid="{70EEDB83-FA46-4BA0-907A-3E341078E24E}"/>
  <tableColumns count="9">
    <tableColumn id="1" xr3:uid="{71C33E28-8D2F-4D71-95BC-85D69412473A}" name="Item"/>
    <tableColumn id="2" xr3:uid="{C48FF226-C571-40CD-AD7A-5965ADFA4C56}" name="FY23A"/>
    <tableColumn id="3" xr3:uid="{1B7E6BF3-6B21-4D27-8EEB-9E168FB361C1}" name="FY24A"/>
    <tableColumn id="4" xr3:uid="{6799F107-E89A-4055-AF9A-9CBA72F86458}" name="FY25A"/>
    <tableColumn id="5" xr3:uid="{AF3C58E4-804D-4BAF-846E-EED5B07C522E}" name="FY26E" dataDxfId="24"/>
    <tableColumn id="6" xr3:uid="{6569E09F-6DB3-4F75-8F50-3187B48D8BC6}" name="FY27E" dataDxfId="23"/>
    <tableColumn id="7" xr3:uid="{9667B569-080F-46B5-BFA7-07231240C600}" name="FY28E" dataDxfId="22"/>
    <tableColumn id="8" xr3:uid="{63B14A2D-BED5-4BAB-8E02-A89F52B40694}" name="FY29E" dataDxfId="21"/>
    <tableColumn id="9" xr3:uid="{49F67D03-06DA-4299-A081-94902B4882EE}" name="FY30E" dataDxfId="2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7C0497-E5D8-4560-AFC4-98D6A3DA9C88}" name="Table8" displayName="Table8" ref="A21:B26" totalsRowShown="0" headerRowDxfId="13">
  <autoFilter ref="A21:B26" xr:uid="{767C0497-E5D8-4560-AFC4-98D6A3DA9C88}"/>
  <tableColumns count="2">
    <tableColumn id="1" xr3:uid="{98ABACCF-0608-40A6-9B49-5F74EFED93F6}" name="Year" dataDxfId="15"/>
    <tableColumn id="2" xr3:uid="{6802ADFD-19CD-4FF6-BD21-A13787EDD730}" name="Assumption" dataDxfId="1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CE3F1C-B9CE-4984-B9A4-B8A65D7C2229}" name="Table9" displayName="Table9" ref="A29:B30" totalsRowShown="0" headerRowDxfId="10">
  <autoFilter ref="A29:B30" xr:uid="{62CE3F1C-B9CE-4984-B9A4-B8A65D7C2229}"/>
  <tableColumns count="2">
    <tableColumn id="1" xr3:uid="{2DF7A31F-7F26-4EBA-88F0-85B9C720151B}" name="Year" dataDxfId="12"/>
    <tableColumn id="2" xr3:uid="{9ED82D98-7AF9-4131-B737-B6F96AAF021E}" name="EBIT Margin" dataDxfId="1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B0FF73-7C78-4330-B940-BE6E9054A021}" name="Table10" displayName="Table10" ref="A33:B34" totalsRowShown="0" headerRowDxfId="7">
  <autoFilter ref="A33:B34" xr:uid="{48B0FF73-7C78-4330-B940-BE6E9054A021}"/>
  <tableColumns count="2">
    <tableColumn id="1" xr3:uid="{DA6FD858-DDFB-4ADD-AA15-019577F69A1E}" name="Year" dataDxfId="9"/>
    <tableColumn id="2" xr3:uid="{50A13F75-5063-4C90-B77C-F3E1866FF4C8}" name="Tax Rate" dataDxfId="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853089-E62F-49D3-BD1B-49ACA2C03839}" name="Table11" displayName="Table11" ref="A37:B38" totalsRowShown="0" headerRowDxfId="4">
  <autoFilter ref="A37:B38" xr:uid="{8A853089-E62F-49D3-BD1B-49ACA2C03839}"/>
  <tableColumns count="2">
    <tableColumn id="1" xr3:uid="{83C0A039-0D14-48D5-A853-053F0AE2C9FF}" name="Year" dataDxfId="6"/>
    <tableColumn id="2" xr3:uid="{E1B04FFF-8872-40D3-A9E4-1A0AE394FBF7}" name="D&amp;A % Revenue" dataDxfId="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117586-E94F-45FA-A413-2AF9D25A85FD}" name="Table12" displayName="Table12" ref="A41:B42" totalsRowShown="0" headerRowDxfId="1">
  <autoFilter ref="A41:B42" xr:uid="{B1117586-E94F-45FA-A413-2AF9D25A85FD}"/>
  <tableColumns count="2">
    <tableColumn id="1" xr3:uid="{0009A1D0-9AEE-4C7D-9E5A-4838D8C8AEDF}" name="Year" dataDxfId="3"/>
    <tableColumn id="2" xr3:uid="{9AFD49EF-C5C9-4B81-BEEC-AC76D05F999D}" name="Capex % Revenue" dataDxfId="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641F76-5443-46F4-87C1-0E0B0993C3BA}" name="Table3" displayName="Table3" ref="A9:G15" totalsRowShown="0">
  <autoFilter ref="A9:G15" xr:uid="{46641F76-5443-46F4-87C1-0E0B0993C3BA}"/>
  <tableColumns count="7">
    <tableColumn id="1" xr3:uid="{C2877A07-69F6-4E2C-9CE1-D16EA391FA10}" name="Item "/>
    <tableColumn id="2" xr3:uid="{AFCA530A-CDCA-4EBD-8174-99CAF602A63F}" name="FY26E"/>
    <tableColumn id="3" xr3:uid="{45B45060-E4C8-4DE6-88B6-728D184F69BA}" name="FY27E"/>
    <tableColumn id="4" xr3:uid="{378FDA6D-259A-4C69-9700-933024B23139}" name="FY28E"/>
    <tableColumn id="5" xr3:uid="{F0BA7B47-446F-4DFC-A4C4-628DD6E47C74}" name="FY29E"/>
    <tableColumn id="6" xr3:uid="{661C7AE9-EFF7-4FD4-A089-E4C9C1300113}" name="FY30E"/>
    <tableColumn id="7" xr3:uid="{526CA279-3399-4953-BB28-BF4F4D87008F}" name="FY31E" dataDxfId="0">
      <calculatedColumnFormula>Table3[[#This Row],[FY30E]]*(1+B3)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B4D741-02E5-483A-A131-97CD6EECD8BF}" name="Table5" displayName="Table5" ref="A1:B3" totalsRowShown="0" headerRowDxfId="17">
  <autoFilter ref="A1:B3" xr:uid="{93B4D741-02E5-483A-A131-97CD6EECD8BF}"/>
  <tableColumns count="2">
    <tableColumn id="1" xr3:uid="{C3AA2791-93D5-4D63-98CE-8ABA9E3ADBE5}" name="Assumption" dataDxfId="19"/>
    <tableColumn id="2" xr3:uid="{C46B2943-2E6A-415E-9815-90560CE2F17F}" name="Value" dataDxfId="18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57124F-354D-48C3-8663-A3E6B19295E0}" name="Table7" displayName="Table7" ref="A5:B8" totalsRowShown="0">
  <autoFilter ref="A5:B8" xr:uid="{F857124F-354D-48C3-8663-A3E6B19295E0}"/>
  <tableColumns count="2">
    <tableColumn id="1" xr3:uid="{ED79200D-A942-4826-ACD5-39710167C75E}" name="Condition" dataDxfId="16"/>
    <tableColumn id="2" xr3:uid="{7E6D48EC-CFB5-4382-A05B-535A9CA3DB9F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B0E8-582B-4DA2-8C43-5CDA829F1E91}">
  <dimension ref="A49"/>
  <sheetViews>
    <sheetView showGridLines="0" workbookViewId="0">
      <selection activeCell="C52" sqref="C52"/>
    </sheetView>
  </sheetViews>
  <sheetFormatPr defaultRowHeight="15.75"/>
  <sheetData>
    <row r="49" spans="1:1">
      <c r="A49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88BE-687C-48C2-969B-FCCA3D2736D7}">
  <dimension ref="A1:D16"/>
  <sheetViews>
    <sheetView showGridLines="0" workbookViewId="0">
      <selection activeCell="J23" sqref="J23"/>
    </sheetView>
  </sheetViews>
  <sheetFormatPr defaultRowHeight="15.75"/>
  <cols>
    <col min="1" max="1" width="44" customWidth="1"/>
    <col min="2" max="4" width="11.875" bestFit="1" customWidth="1"/>
  </cols>
  <sheetData>
    <row r="1" spans="1:4" ht="27.75" customHeight="1">
      <c r="A1" s="3" t="s">
        <v>18</v>
      </c>
      <c r="B1" s="1"/>
      <c r="C1" s="1"/>
    </row>
    <row r="2" spans="1:4" ht="24" customHeight="1"/>
    <row r="3" spans="1:4">
      <c r="A3" t="s">
        <v>1</v>
      </c>
      <c r="B3" t="s">
        <v>11</v>
      </c>
      <c r="C3" t="s">
        <v>12</v>
      </c>
      <c r="D3" t="s">
        <v>13</v>
      </c>
    </row>
    <row r="4" spans="1:4">
      <c r="A4" t="s">
        <v>2</v>
      </c>
      <c r="B4" s="4">
        <v>383285</v>
      </c>
      <c r="C4" s="4">
        <v>391035</v>
      </c>
      <c r="D4" s="4">
        <v>416161</v>
      </c>
    </row>
    <row r="5" spans="1:4">
      <c r="A5" t="s">
        <v>3</v>
      </c>
      <c r="B5" s="4">
        <v>114301</v>
      </c>
      <c r="C5" s="4">
        <v>123216</v>
      </c>
      <c r="D5" s="4">
        <v>133050</v>
      </c>
    </row>
    <row r="6" spans="1:4">
      <c r="A6" t="s">
        <v>4</v>
      </c>
      <c r="B6" s="5">
        <f>B5/B4</f>
        <v>0.29821412265024722</v>
      </c>
      <c r="C6" s="5">
        <f>C5/C4</f>
        <v>0.31510222870075566</v>
      </c>
      <c r="D6" s="5">
        <f t="shared" ref="D6" si="0">D5/D4</f>
        <v>0.31970799762591884</v>
      </c>
    </row>
    <row r="7" spans="1:4">
      <c r="A7" t="s">
        <v>5</v>
      </c>
      <c r="B7" s="4">
        <v>96995</v>
      </c>
      <c r="C7" s="4">
        <v>93736</v>
      </c>
      <c r="D7" s="4">
        <v>112010</v>
      </c>
    </row>
    <row r="8" spans="1:4">
      <c r="A8" t="s">
        <v>6</v>
      </c>
      <c r="B8" s="4">
        <v>11519</v>
      </c>
      <c r="C8" s="4">
        <v>11445</v>
      </c>
      <c r="D8" s="4">
        <v>11698</v>
      </c>
    </row>
    <row r="9" spans="1:4">
      <c r="A9" t="s">
        <v>7</v>
      </c>
      <c r="B9" s="4">
        <v>110543</v>
      </c>
      <c r="C9" s="4">
        <v>118254</v>
      </c>
      <c r="D9" s="4">
        <v>111482</v>
      </c>
    </row>
    <row r="10" spans="1:4">
      <c r="A10" t="s">
        <v>8</v>
      </c>
      <c r="B10" s="4">
        <v>10959</v>
      </c>
      <c r="C10" s="4">
        <v>9447</v>
      </c>
      <c r="D10" s="4">
        <v>12715</v>
      </c>
    </row>
    <row r="11" spans="1:4">
      <c r="A11" t="s">
        <v>9</v>
      </c>
      <c r="B11" s="5">
        <f>B10/B4</f>
        <v>2.859230076835775E-2</v>
      </c>
      <c r="C11" s="5">
        <f t="shared" ref="C11:D11" si="1">C10/C4</f>
        <v>2.415896275269477E-2</v>
      </c>
      <c r="D11" s="5">
        <f t="shared" si="1"/>
        <v>3.0553079216937677E-2</v>
      </c>
    </row>
    <row r="12" spans="1:4">
      <c r="A12" t="s">
        <v>10</v>
      </c>
      <c r="B12" s="4">
        <v>29965</v>
      </c>
      <c r="C12" s="4">
        <v>29943</v>
      </c>
      <c r="D12" s="4">
        <v>35934</v>
      </c>
    </row>
    <row r="13" spans="1:4">
      <c r="A13" t="s">
        <v>14</v>
      </c>
      <c r="B13" s="4">
        <f>9822+5985</f>
        <v>15807</v>
      </c>
      <c r="C13" s="4">
        <f>10912+9967</f>
        <v>20879</v>
      </c>
      <c r="D13" s="4">
        <f>12350+7979</f>
        <v>20329</v>
      </c>
    </row>
    <row r="14" spans="1:4">
      <c r="A14" t="s">
        <v>15</v>
      </c>
      <c r="B14" s="4">
        <f>95281</f>
        <v>95281</v>
      </c>
      <c r="C14" s="4">
        <v>85750</v>
      </c>
      <c r="D14" s="4">
        <v>78328</v>
      </c>
    </row>
    <row r="15" spans="1:4">
      <c r="A15" t="s">
        <v>16</v>
      </c>
      <c r="B15" s="4">
        <f>B13+B14</f>
        <v>111088</v>
      </c>
      <c r="C15" s="4">
        <f t="shared" ref="C15:D15" si="2">C13+C14</f>
        <v>106629</v>
      </c>
      <c r="D15" s="4">
        <f t="shared" si="2"/>
        <v>98657</v>
      </c>
    </row>
    <row r="16" spans="1:4">
      <c r="A16" t="s">
        <v>17</v>
      </c>
      <c r="B16" s="4">
        <f>B15-B12</f>
        <v>81123</v>
      </c>
      <c r="C16" s="4">
        <f t="shared" ref="C16:D16" si="3">C15-C12</f>
        <v>76686</v>
      </c>
      <c r="D16" s="4">
        <f t="shared" si="3"/>
        <v>62723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8DC9-CA8F-464D-957F-9A4F33E04219}">
  <dimension ref="A1:N42"/>
  <sheetViews>
    <sheetView showGridLines="0" tabSelected="1" workbookViewId="0">
      <selection activeCell="N47" sqref="N47"/>
    </sheetView>
  </sheetViews>
  <sheetFormatPr defaultRowHeight="15.75"/>
  <cols>
    <col min="1" max="1" width="24.5" bestFit="1" customWidth="1"/>
    <col min="2" max="2" width="29.125" customWidth="1"/>
    <col min="3" max="3" width="22.5" customWidth="1"/>
    <col min="4" max="4" width="20.75" customWidth="1"/>
    <col min="5" max="5" width="14.5" customWidth="1"/>
    <col min="6" max="6" width="16.875" customWidth="1"/>
    <col min="7" max="7" width="17.125" customWidth="1"/>
    <col min="8" max="8" width="16.25" customWidth="1"/>
    <col min="9" max="9" width="17.5" customWidth="1"/>
  </cols>
  <sheetData>
    <row r="1" spans="1:14">
      <c r="A1" t="s">
        <v>1</v>
      </c>
      <c r="B1" t="s">
        <v>11</v>
      </c>
      <c r="C1" t="s">
        <v>12</v>
      </c>
      <c r="D1" t="s">
        <v>13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14">
      <c r="A2" t="s">
        <v>2</v>
      </c>
      <c r="B2" s="7">
        <f>'Historical Data '!B4</f>
        <v>383285</v>
      </c>
      <c r="C2" s="7">
        <f>'Historical Data '!C4</f>
        <v>391035</v>
      </c>
      <c r="D2" s="7">
        <f>'Historical Data '!D4</f>
        <v>416161</v>
      </c>
      <c r="E2" s="7">
        <f>D2*(1+E3)</f>
        <v>436969.05000000005</v>
      </c>
      <c r="F2" s="7">
        <f t="shared" ref="F2:I2" si="0">E2*(1+F3)</f>
        <v>456632.65724999999</v>
      </c>
      <c r="G2" s="7">
        <f t="shared" si="0"/>
        <v>474897.96354000003</v>
      </c>
      <c r="H2" s="7">
        <f t="shared" si="0"/>
        <v>491519.39226389996</v>
      </c>
      <c r="I2" s="7">
        <f t="shared" si="0"/>
        <v>506264.97403181699</v>
      </c>
    </row>
    <row r="3" spans="1:14">
      <c r="A3" t="s">
        <v>19</v>
      </c>
      <c r="C3" s="6">
        <f>C2/B2-1</f>
        <v>2.021994077514111E-2</v>
      </c>
      <c r="D3" s="6">
        <f>D2/C2-1</f>
        <v>6.425511782832749E-2</v>
      </c>
      <c r="E3" s="6">
        <v>0.05</v>
      </c>
      <c r="F3" s="6">
        <v>4.4999999999999998E-2</v>
      </c>
      <c r="G3" s="6">
        <v>0.04</v>
      </c>
      <c r="H3" s="6">
        <v>3.5000000000000003E-2</v>
      </c>
      <c r="I3" s="6">
        <v>0.03</v>
      </c>
    </row>
    <row r="4" spans="1:14">
      <c r="A4" t="s">
        <v>4</v>
      </c>
      <c r="B4" s="6">
        <f>'Historical Data '!B6</f>
        <v>0.29821412265024722</v>
      </c>
      <c r="C4" s="6">
        <f>'Historical Data '!C6</f>
        <v>0.31510222870075566</v>
      </c>
      <c r="D4" s="6">
        <f>'Historical Data '!D6</f>
        <v>0.31970799762591884</v>
      </c>
      <c r="E4" s="6">
        <f>D4</f>
        <v>0.31970799762591884</v>
      </c>
      <c r="F4" s="6">
        <f t="shared" ref="F4:I4" si="1">E4</f>
        <v>0.31970799762591884</v>
      </c>
      <c r="G4" s="6">
        <f t="shared" si="1"/>
        <v>0.31970799762591884</v>
      </c>
      <c r="H4" s="6">
        <f t="shared" si="1"/>
        <v>0.31970799762591884</v>
      </c>
      <c r="I4" s="6">
        <f t="shared" si="1"/>
        <v>0.31970799762591884</v>
      </c>
    </row>
    <row r="5" spans="1:14">
      <c r="A5" t="s">
        <v>20</v>
      </c>
      <c r="B5" s="7">
        <f>Table1[[#This Row],[FY23A]]</f>
        <v>114301</v>
      </c>
      <c r="C5" s="7">
        <f>Table1[[#This Row],[FY24A]]</f>
        <v>123216</v>
      </c>
      <c r="D5" s="7">
        <f>Table1[[#This Row],[FY25A]]</f>
        <v>133050</v>
      </c>
      <c r="E5" s="7">
        <f>E2*E4</f>
        <v>139702.50000000003</v>
      </c>
      <c r="F5" s="7">
        <f t="shared" ref="F5:I5" si="2">F2*F4</f>
        <v>145989.11250000002</v>
      </c>
      <c r="G5" s="7">
        <f t="shared" si="2"/>
        <v>151828.67700000003</v>
      </c>
      <c r="H5" s="7">
        <f t="shared" si="2"/>
        <v>157142.68069499999</v>
      </c>
      <c r="I5" s="7">
        <f t="shared" si="2"/>
        <v>161856.96111585002</v>
      </c>
    </row>
    <row r="6" spans="1:14">
      <c r="A6" t="s">
        <v>21</v>
      </c>
      <c r="B6" s="6">
        <f>16741/113736</f>
        <v>0.14719174228036858</v>
      </c>
      <c r="C6" s="6">
        <f>29749/123485</f>
        <v>0.24091185164189982</v>
      </c>
      <c r="D6" s="6">
        <f>20719/132729</f>
        <v>0.15610002335586043</v>
      </c>
      <c r="E6" s="6">
        <v>0.16</v>
      </c>
      <c r="F6" s="6">
        <v>0.16</v>
      </c>
      <c r="G6" s="6">
        <v>0.16</v>
      </c>
      <c r="H6" s="6">
        <v>0.16</v>
      </c>
      <c r="I6" s="6">
        <v>0.16</v>
      </c>
    </row>
    <row r="7" spans="1:14">
      <c r="A7" t="s">
        <v>22</v>
      </c>
      <c r="B7" s="8">
        <f>B5*(1-B6)</f>
        <v>97476.836665611598</v>
      </c>
      <c r="C7" s="8">
        <f t="shared" ref="C7:I7" si="3">C5*(1-C6)</f>
        <v>93531.80528809168</v>
      </c>
      <c r="D7" s="8">
        <f t="shared" si="3"/>
        <v>112280.89189250277</v>
      </c>
      <c r="E7" s="8">
        <f>E5*(1-E6)</f>
        <v>117350.10000000002</v>
      </c>
      <c r="F7" s="8">
        <f t="shared" si="3"/>
        <v>122630.85450000002</v>
      </c>
      <c r="G7" s="8">
        <f t="shared" si="3"/>
        <v>127536.08868000002</v>
      </c>
      <c r="H7" s="8">
        <f t="shared" si="3"/>
        <v>131999.8517838</v>
      </c>
      <c r="I7" s="8">
        <f t="shared" si="3"/>
        <v>135959.84733731402</v>
      </c>
    </row>
    <row r="8" spans="1:14">
      <c r="A8" t="s">
        <v>23</v>
      </c>
      <c r="B8" s="6">
        <f>B9/B2</f>
        <v>3.0053354553400212E-2</v>
      </c>
      <c r="C8" s="6">
        <f t="shared" ref="C8:D8" si="4">C9/C2</f>
        <v>2.9268479803598143E-2</v>
      </c>
      <c r="D8" s="6">
        <f t="shared" si="4"/>
        <v>2.8109313462818475E-2</v>
      </c>
      <c r="E8" s="6">
        <f>D8</f>
        <v>2.8109313462818475E-2</v>
      </c>
      <c r="F8" s="6">
        <f t="shared" ref="F8:I8" si="5">E8</f>
        <v>2.8109313462818475E-2</v>
      </c>
      <c r="G8" s="6">
        <f t="shared" si="5"/>
        <v>2.8109313462818475E-2</v>
      </c>
      <c r="H8" s="6">
        <f t="shared" si="5"/>
        <v>2.8109313462818475E-2</v>
      </c>
      <c r="I8" s="6">
        <f t="shared" si="5"/>
        <v>2.8109313462818475E-2</v>
      </c>
    </row>
    <row r="9" spans="1:14">
      <c r="A9" t="s">
        <v>6</v>
      </c>
      <c r="B9" s="7">
        <f>'Historical Data '!B8</f>
        <v>11519</v>
      </c>
      <c r="C9" s="7">
        <f>'Historical Data '!C8</f>
        <v>11445</v>
      </c>
      <c r="D9" s="7">
        <f>'Historical Data '!D8</f>
        <v>11698</v>
      </c>
      <c r="E9" s="7">
        <f>E2*E8</f>
        <v>12282.900000000001</v>
      </c>
      <c r="F9" s="7">
        <f t="shared" ref="F9:I9" si="6">F2*F8</f>
        <v>12835.630499999999</v>
      </c>
      <c r="G9" s="7">
        <f t="shared" si="6"/>
        <v>13349.05572</v>
      </c>
      <c r="H9" s="7">
        <f t="shared" si="6"/>
        <v>13816.272670199998</v>
      </c>
      <c r="I9" s="7">
        <f t="shared" si="6"/>
        <v>14230.760850305998</v>
      </c>
      <c r="K9" s="5"/>
    </row>
    <row r="10" spans="1:14">
      <c r="A10" t="s">
        <v>24</v>
      </c>
      <c r="B10" s="6">
        <f>B11/B2</f>
        <v>2.859230076835775E-2</v>
      </c>
      <c r="C10" s="6">
        <f t="shared" ref="C10:D10" si="7">C11/C2</f>
        <v>2.415896275269477E-2</v>
      </c>
      <c r="D10" s="6">
        <f t="shared" si="7"/>
        <v>3.0553079216937677E-2</v>
      </c>
      <c r="E10" s="6">
        <f>D10</f>
        <v>3.0553079216937677E-2</v>
      </c>
      <c r="F10" s="6">
        <f t="shared" ref="F10:I10" si="8">E10</f>
        <v>3.0553079216937677E-2</v>
      </c>
      <c r="G10" s="6">
        <f t="shared" si="8"/>
        <v>3.0553079216937677E-2</v>
      </c>
      <c r="H10" s="6">
        <f t="shared" si="8"/>
        <v>3.0553079216937677E-2</v>
      </c>
      <c r="I10" s="6">
        <f t="shared" si="8"/>
        <v>3.0553079216937677E-2</v>
      </c>
    </row>
    <row r="11" spans="1:14">
      <c r="A11" t="s">
        <v>8</v>
      </c>
      <c r="B11" s="7">
        <f>'Historical Data '!B10</f>
        <v>10959</v>
      </c>
      <c r="C11" s="7">
        <f>'Historical Data '!C10</f>
        <v>9447</v>
      </c>
      <c r="D11" s="7">
        <f>'Historical Data '!D10</f>
        <v>12715</v>
      </c>
      <c r="E11" s="7">
        <f>E2*E10</f>
        <v>13350.750000000002</v>
      </c>
      <c r="F11" s="7">
        <f t="shared" ref="F11:I11" si="9">F2*F10</f>
        <v>13951.533750000001</v>
      </c>
      <c r="G11" s="7">
        <f t="shared" si="9"/>
        <v>14509.5951</v>
      </c>
      <c r="H11" s="7">
        <f t="shared" si="9"/>
        <v>15017.4309285</v>
      </c>
      <c r="I11" s="7">
        <f t="shared" si="9"/>
        <v>15467.953856355</v>
      </c>
    </row>
    <row r="12" spans="1:14">
      <c r="A12" t="s">
        <v>25</v>
      </c>
      <c r="E12" s="7">
        <f>E7+E9-E11</f>
        <v>116282.25000000003</v>
      </c>
      <c r="F12" s="7">
        <f t="shared" ref="F12:I12" si="10">F7+F9-F11</f>
        <v>121514.95125000001</v>
      </c>
      <c r="G12" s="7">
        <f t="shared" si="10"/>
        <v>126375.54930000001</v>
      </c>
      <c r="H12" s="7">
        <f t="shared" si="10"/>
        <v>130798.6935255</v>
      </c>
      <c r="I12" s="7">
        <f t="shared" si="10"/>
        <v>134722.65433126502</v>
      </c>
    </row>
    <row r="15" spans="1:14">
      <c r="J15" s="7"/>
      <c r="K15" s="7"/>
      <c r="L15" s="7"/>
      <c r="M15" s="7"/>
      <c r="N15" s="7"/>
    </row>
    <row r="19" spans="1:2">
      <c r="A19" t="s">
        <v>31</v>
      </c>
    </row>
    <row r="20" spans="1:2">
      <c r="A20" s="9" t="s">
        <v>32</v>
      </c>
    </row>
    <row r="21" spans="1:2">
      <c r="A21" s="14" t="s">
        <v>33</v>
      </c>
      <c r="B21" s="14" t="s">
        <v>31</v>
      </c>
    </row>
    <row r="22" spans="1:2">
      <c r="A22" s="10" t="s">
        <v>26</v>
      </c>
      <c r="B22" s="11">
        <v>0.05</v>
      </c>
    </row>
    <row r="23" spans="1:2">
      <c r="A23" s="10" t="s">
        <v>27</v>
      </c>
      <c r="B23" s="11">
        <v>4.4999999999999998E-2</v>
      </c>
    </row>
    <row r="24" spans="1:2">
      <c r="A24" s="10" t="s">
        <v>28</v>
      </c>
      <c r="B24" s="11">
        <v>0.04</v>
      </c>
    </row>
    <row r="25" spans="1:2">
      <c r="A25" s="10" t="s">
        <v>29</v>
      </c>
      <c r="B25" s="11">
        <v>3.5000000000000003E-2</v>
      </c>
    </row>
    <row r="26" spans="1:2">
      <c r="A26" s="10" t="s">
        <v>30</v>
      </c>
      <c r="B26" s="11">
        <v>0.03</v>
      </c>
    </row>
    <row r="28" spans="1:2">
      <c r="A28" s="18" t="s">
        <v>34</v>
      </c>
    </row>
    <row r="29" spans="1:2">
      <c r="A29" s="13" t="s">
        <v>33</v>
      </c>
      <c r="B29" s="13" t="s">
        <v>4</v>
      </c>
    </row>
    <row r="30" spans="1:2">
      <c r="A30" s="10" t="s">
        <v>35</v>
      </c>
      <c r="B30" s="11">
        <v>0.32</v>
      </c>
    </row>
    <row r="32" spans="1:2">
      <c r="A32" t="s">
        <v>36</v>
      </c>
    </row>
    <row r="33" spans="1:2">
      <c r="A33" s="12" t="s">
        <v>33</v>
      </c>
      <c r="B33" s="12" t="s">
        <v>21</v>
      </c>
    </row>
    <row r="34" spans="1:2">
      <c r="A34" s="10" t="s">
        <v>35</v>
      </c>
      <c r="B34" s="11">
        <v>0.16</v>
      </c>
    </row>
    <row r="36" spans="1:2">
      <c r="A36" t="s">
        <v>37</v>
      </c>
    </row>
    <row r="37" spans="1:2">
      <c r="A37" s="12" t="s">
        <v>33</v>
      </c>
      <c r="B37" s="12" t="s">
        <v>23</v>
      </c>
    </row>
    <row r="38" spans="1:2">
      <c r="A38" s="10" t="s">
        <v>35</v>
      </c>
      <c r="B38" s="11">
        <v>2.8000000000000001E-2</v>
      </c>
    </row>
    <row r="40" spans="1:2">
      <c r="A40" t="s">
        <v>38</v>
      </c>
    </row>
    <row r="41" spans="1:2">
      <c r="A41" s="12" t="s">
        <v>33</v>
      </c>
      <c r="B41" s="12" t="s">
        <v>24</v>
      </c>
    </row>
    <row r="42" spans="1:2">
      <c r="A42" s="10" t="s">
        <v>35</v>
      </c>
      <c r="B42" s="11">
        <v>3.1E-2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D67D-352C-4DE8-9BE7-0FE869B94DF3}">
  <dimension ref="A1:AA38"/>
  <sheetViews>
    <sheetView showGridLines="0" workbookViewId="0">
      <selection activeCell="R33" sqref="R33"/>
    </sheetView>
  </sheetViews>
  <sheetFormatPr defaultRowHeight="15.75"/>
  <cols>
    <col min="1" max="1" width="32" customWidth="1"/>
    <col min="2" max="2" width="11.875" bestFit="1" customWidth="1"/>
    <col min="3" max="3" width="10.875" bestFit="1" customWidth="1"/>
    <col min="4" max="5" width="11.875" bestFit="1" customWidth="1"/>
    <col min="6" max="6" width="20.75" bestFit="1" customWidth="1"/>
    <col min="7" max="7" width="8.5" bestFit="1" customWidth="1"/>
    <col min="8" max="8" width="13.5" bestFit="1" customWidth="1"/>
    <col min="9" max="9" width="12.125" bestFit="1" customWidth="1"/>
    <col min="10" max="10" width="12.125" customWidth="1"/>
    <col min="11" max="11" width="3.375" bestFit="1" customWidth="1"/>
    <col min="13" max="13" width="9.625" bestFit="1" customWidth="1"/>
    <col min="16" max="16" width="8.875" bestFit="1" customWidth="1"/>
    <col min="19" max="19" width="11.5" customWidth="1"/>
    <col min="21" max="21" width="3.375" bestFit="1" customWidth="1"/>
    <col min="23" max="23" width="10.25" customWidth="1"/>
  </cols>
  <sheetData>
    <row r="1" spans="1:27" ht="19.5">
      <c r="A1" s="12" t="s">
        <v>31</v>
      </c>
      <c r="B1" s="12" t="s">
        <v>39</v>
      </c>
      <c r="R1" s="70" t="s">
        <v>65</v>
      </c>
      <c r="S1" s="71"/>
    </row>
    <row r="2" spans="1:27">
      <c r="A2" s="10" t="s">
        <v>40</v>
      </c>
      <c r="B2" s="16">
        <v>0.08</v>
      </c>
    </row>
    <row r="3" spans="1:27">
      <c r="A3" s="10" t="s">
        <v>41</v>
      </c>
      <c r="B3" s="16">
        <v>2.5000000000000001E-2</v>
      </c>
    </row>
    <row r="4" spans="1:27">
      <c r="A4" s="10"/>
      <c r="B4" s="11"/>
    </row>
    <row r="5" spans="1:27">
      <c r="A5" s="10" t="s">
        <v>48</v>
      </c>
      <c r="B5" s="7" t="s">
        <v>39</v>
      </c>
    </row>
    <row r="6" spans="1:27">
      <c r="A6" s="10" t="s">
        <v>46</v>
      </c>
      <c r="B6" s="7">
        <v>15004697</v>
      </c>
    </row>
    <row r="7" spans="1:27">
      <c r="A7" s="10" t="s">
        <v>47</v>
      </c>
      <c r="B7" s="17">
        <v>315.32</v>
      </c>
    </row>
    <row r="8" spans="1:27" ht="18.75">
      <c r="A8" s="50" t="s">
        <v>17</v>
      </c>
      <c r="B8" s="51">
        <f>'Historical Data '!D16</f>
        <v>62723</v>
      </c>
      <c r="N8" s="33"/>
      <c r="O8" s="43" t="s">
        <v>51</v>
      </c>
      <c r="P8" s="41"/>
      <c r="X8" s="41" t="s">
        <v>57</v>
      </c>
      <c r="Y8" s="33"/>
      <c r="Z8" s="41"/>
    </row>
    <row r="9" spans="1:27">
      <c r="A9" t="s">
        <v>42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44</v>
      </c>
    </row>
    <row r="10" spans="1:27">
      <c r="A10" t="s">
        <v>25</v>
      </c>
      <c r="B10" s="7">
        <f>'Forecast '!E12</f>
        <v>116282.25000000003</v>
      </c>
      <c r="C10" s="7">
        <f>'Forecast '!F12</f>
        <v>121514.95125000001</v>
      </c>
      <c r="D10" s="7">
        <f>'Forecast '!G12</f>
        <v>126375.54930000001</v>
      </c>
      <c r="E10" s="7">
        <f>'Forecast '!H12</f>
        <v>130798.6935255</v>
      </c>
      <c r="F10" s="7">
        <f>'Forecast '!I12</f>
        <v>134722.65433126502</v>
      </c>
      <c r="G10" s="7">
        <f>Table3[[#This Row],[FY30E]]*(1+B3)</f>
        <v>138090.72068954664</v>
      </c>
    </row>
    <row r="11" spans="1:27">
      <c r="A11" t="s">
        <v>43</v>
      </c>
      <c r="B11">
        <f>1/(1+$B$2)^1</f>
        <v>0.92592592592592582</v>
      </c>
      <c r="C11">
        <f>1/(1+$B$2)^2</f>
        <v>0.85733882030178321</v>
      </c>
      <c r="D11">
        <f>1/(1+$B$2)^3</f>
        <v>0.79383224102016958</v>
      </c>
      <c r="E11">
        <f>1/(1+$B$2)^4</f>
        <v>0.73502985279645328</v>
      </c>
      <c r="F11">
        <f>1/(1+$B$2)^5</f>
        <v>0.68058319703375303</v>
      </c>
      <c r="O11" s="2" t="s">
        <v>66</v>
      </c>
      <c r="Y11" s="2" t="s">
        <v>66</v>
      </c>
    </row>
    <row r="12" spans="1:27">
      <c r="A12" t="s">
        <v>52</v>
      </c>
      <c r="B12" s="7">
        <f>B10*B11</f>
        <v>107668.75000000001</v>
      </c>
      <c r="C12" s="7">
        <f t="shared" ref="C12:F12" si="0">C10*C11</f>
        <v>104179.48495370371</v>
      </c>
      <c r="D12" s="7">
        <f t="shared" si="0"/>
        <v>100320.98551097393</v>
      </c>
      <c r="E12" s="7">
        <f t="shared" si="0"/>
        <v>96140.944448016671</v>
      </c>
      <c r="F12" s="7">
        <f t="shared" si="0"/>
        <v>91689.97479764554</v>
      </c>
      <c r="G12" s="7"/>
      <c r="L12" s="49">
        <f>C36</f>
        <v>2208767.8518482796</v>
      </c>
      <c r="M12" s="5">
        <v>1.4999999999999999E-2</v>
      </c>
      <c r="N12" s="5">
        <v>0.02</v>
      </c>
      <c r="O12" s="45">
        <v>2.5000000000000001E-2</v>
      </c>
      <c r="P12" s="5">
        <v>0.03</v>
      </c>
      <c r="Q12" s="5">
        <v>3.5000000000000003E-2</v>
      </c>
      <c r="W12" s="5">
        <v>1.4999999999999999E-2</v>
      </c>
      <c r="X12" s="5">
        <v>0.02</v>
      </c>
      <c r="Y12" s="5">
        <v>2.5000000000000001E-2</v>
      </c>
      <c r="Z12" s="5">
        <v>0.03</v>
      </c>
      <c r="AA12" s="5">
        <v>3.5000000000000003E-2</v>
      </c>
    </row>
    <row r="13" spans="1:27">
      <c r="A13" t="s">
        <v>49</v>
      </c>
      <c r="F13" s="7">
        <f>G10/(B2-B3)</f>
        <v>2510740.3761735754</v>
      </c>
      <c r="G13" s="7"/>
      <c r="I13" s="7"/>
      <c r="J13" s="7"/>
      <c r="K13" s="15"/>
      <c r="L13" s="5">
        <v>0.06</v>
      </c>
      <c r="M13" s="46">
        <f t="dataTable" ref="M13:Q17" dt2D="1" dtr="1" r1="B3" r2="B2"/>
        <v>2798959.4029430836</v>
      </c>
      <c r="N13" s="22">
        <v>3095384.294027532</v>
      </c>
      <c r="O13" s="22">
        <v>3476502.0111361081</v>
      </c>
      <c r="P13" s="22">
        <v>3984658.9672808754</v>
      </c>
      <c r="Q13" s="28">
        <v>4696078.7058835514</v>
      </c>
      <c r="V13" s="5">
        <v>0.06</v>
      </c>
      <c r="W13" s="53">
        <f>M26/$B$6*1000</f>
        <v>182.35865762188226</v>
      </c>
      <c r="X13" s="54">
        <f t="shared" ref="X13:AA13" si="1">N26/$B$6*1000</f>
        <v>202.1141309303035</v>
      </c>
      <c r="Y13" s="54">
        <f t="shared" si="1"/>
        <v>227.51402518398791</v>
      </c>
      <c r="Z13" s="54">
        <f t="shared" si="1"/>
        <v>261.38055085556709</v>
      </c>
      <c r="AA13" s="55">
        <f t="shared" si="1"/>
        <v>308.79368679577811</v>
      </c>
    </row>
    <row r="14" spans="1:27">
      <c r="A14" t="s">
        <v>53</v>
      </c>
      <c r="F14" s="7">
        <f>F13/(1+B2)^5</f>
        <v>1708767.7121379396</v>
      </c>
      <c r="G14" s="15"/>
      <c r="I14" s="7"/>
      <c r="J14" s="7"/>
      <c r="K14" s="15"/>
      <c r="L14" s="5">
        <v>7.0000000000000007E-2</v>
      </c>
      <c r="M14" s="47">
        <v>2286470.6167150862</v>
      </c>
      <c r="N14" s="30">
        <v>2473342.0129762786</v>
      </c>
      <c r="O14" s="30">
        <v>2701740.3861844032</v>
      </c>
      <c r="P14" s="30">
        <v>2987238.352694558</v>
      </c>
      <c r="Q14" s="40">
        <v>3354307.1667790436</v>
      </c>
      <c r="V14" s="5">
        <v>7.0000000000000007E-2</v>
      </c>
      <c r="W14" s="56">
        <f t="shared" ref="W14:AA14" si="2">M27/$B$6*1000</f>
        <v>148.20343367913969</v>
      </c>
      <c r="X14" s="57">
        <f t="shared" si="2"/>
        <v>160.65762694016939</v>
      </c>
      <c r="Y14" s="57">
        <f t="shared" si="2"/>
        <v>175.87941870365015</v>
      </c>
      <c r="Z14" s="57">
        <f t="shared" si="2"/>
        <v>194.90665840800102</v>
      </c>
      <c r="AA14" s="58">
        <f t="shared" si="2"/>
        <v>219.3702523135951</v>
      </c>
    </row>
    <row r="15" spans="1:27" ht="24.75" customHeight="1">
      <c r="A15" t="s">
        <v>50</v>
      </c>
      <c r="B15" s="7">
        <f>B12+B14</f>
        <v>107668.75000000001</v>
      </c>
      <c r="C15" s="7">
        <f t="shared" ref="C15:E15" si="3">C12+C14</f>
        <v>104179.48495370371</v>
      </c>
      <c r="D15" s="7">
        <f t="shared" si="3"/>
        <v>100320.98551097393</v>
      </c>
      <c r="E15" s="7">
        <f t="shared" si="3"/>
        <v>96140.944448016671</v>
      </c>
      <c r="F15" s="7">
        <f>F12+F14</f>
        <v>1800457.6869355852</v>
      </c>
      <c r="G15" s="15"/>
      <c r="I15" s="7"/>
      <c r="J15" s="7"/>
      <c r="K15" s="72" t="s">
        <v>69</v>
      </c>
      <c r="L15" s="45">
        <v>0.08</v>
      </c>
      <c r="M15" s="47">
        <v>1931774.3615504971</v>
      </c>
      <c r="N15" s="30">
        <v>2058729.7112703142</v>
      </c>
      <c r="O15" s="44">
        <v>2208767.8518482796</v>
      </c>
      <c r="P15" s="30">
        <v>2388813.6205418375</v>
      </c>
      <c r="Q15" s="40">
        <v>2608869.5600561872</v>
      </c>
      <c r="U15" s="72" t="s">
        <v>69</v>
      </c>
      <c r="V15" s="5">
        <v>0.08</v>
      </c>
      <c r="W15" s="56">
        <f>M28/$B$6*1000</f>
        <v>124.56441883168299</v>
      </c>
      <c r="X15" s="57">
        <f t="shared" ref="W15:AA15" si="4">N28/$B$6*1000</f>
        <v>133.02545937917401</v>
      </c>
      <c r="Y15" s="59">
        <f t="shared" si="4"/>
        <v>143.02487093529976</v>
      </c>
      <c r="Z15" s="57">
        <f t="shared" si="4"/>
        <v>155.02416480265063</v>
      </c>
      <c r="AA15" s="58">
        <f t="shared" si="4"/>
        <v>169.68996841830176</v>
      </c>
    </row>
    <row r="16" spans="1:27" ht="21.75">
      <c r="K16" s="72" t="s">
        <v>68</v>
      </c>
      <c r="L16" s="5">
        <v>0.09</v>
      </c>
      <c r="M16" s="47">
        <v>1671749.5345721277</v>
      </c>
      <c r="N16" s="30">
        <v>1762645.6534577371</v>
      </c>
      <c r="O16" s="30">
        <v>1867525.79063344</v>
      </c>
      <c r="P16" s="30">
        <v>1989885.9506717608</v>
      </c>
      <c r="Q16" s="40">
        <v>2134493.4125352306</v>
      </c>
      <c r="U16" s="72" t="s">
        <v>68</v>
      </c>
      <c r="V16" s="5">
        <v>0.09</v>
      </c>
      <c r="W16" s="56">
        <f t="shared" ref="W16:AA16" si="5">M29/$B$6*1000</f>
        <v>107.23485682997317</v>
      </c>
      <c r="X16" s="57">
        <f t="shared" si="5"/>
        <v>113.29270117602088</v>
      </c>
      <c r="Y16" s="57">
        <f t="shared" si="5"/>
        <v>120.28252157530672</v>
      </c>
      <c r="Z16" s="57">
        <f t="shared" si="5"/>
        <v>128.43731204114022</v>
      </c>
      <c r="AA16" s="58">
        <f t="shared" si="5"/>
        <v>138.07479168257981</v>
      </c>
    </row>
    <row r="17" spans="1:27">
      <c r="L17" s="5">
        <v>0.1</v>
      </c>
      <c r="M17" s="48">
        <v>1472979.2824364693</v>
      </c>
      <c r="N17" s="24">
        <v>1540639.1248267277</v>
      </c>
      <c r="O17" s="24">
        <v>1617320.2795356871</v>
      </c>
      <c r="P17" s="24">
        <v>1704955.8849173549</v>
      </c>
      <c r="Q17" s="29">
        <v>1806073.8911269719</v>
      </c>
      <c r="V17" s="5">
        <v>0.1</v>
      </c>
      <c r="W17" s="60">
        <f t="shared" ref="W17:AA17" si="6">M30/$B$6*1000</f>
        <v>93.987654828116106</v>
      </c>
      <c r="X17" s="61">
        <f t="shared" si="6"/>
        <v>98.496898992810571</v>
      </c>
      <c r="Y17" s="61">
        <f t="shared" si="6"/>
        <v>103.60737571279761</v>
      </c>
      <c r="Z17" s="61">
        <f t="shared" si="6"/>
        <v>109.44792053563994</v>
      </c>
      <c r="AA17" s="52">
        <f t="shared" si="6"/>
        <v>116.18701071584265</v>
      </c>
    </row>
    <row r="20" spans="1:27">
      <c r="M20" s="72"/>
    </row>
    <row r="21" spans="1:27" ht="18.75">
      <c r="N21" s="33"/>
      <c r="O21" s="41" t="s">
        <v>58</v>
      </c>
      <c r="P21" s="41"/>
      <c r="W21" s="41" t="s">
        <v>67</v>
      </c>
      <c r="X21" s="33"/>
      <c r="Y21" s="41"/>
      <c r="Z21" s="33"/>
      <c r="AA21" s="33"/>
    </row>
    <row r="24" spans="1:27">
      <c r="O24" s="2" t="s">
        <v>66</v>
      </c>
      <c r="Y24" s="2" t="s">
        <v>66</v>
      </c>
    </row>
    <row r="25" spans="1:27">
      <c r="M25" s="5">
        <v>1.4999999999999999E-2</v>
      </c>
      <c r="N25" s="5">
        <v>0.02</v>
      </c>
      <c r="O25" s="45">
        <v>2.5000000000000001E-2</v>
      </c>
      <c r="P25" s="5">
        <v>0.03</v>
      </c>
      <c r="Q25" s="5">
        <v>3.5000000000000003E-2</v>
      </c>
      <c r="W25" s="5">
        <v>1.4999999999999999E-2</v>
      </c>
      <c r="X25" s="5">
        <v>0.02</v>
      </c>
      <c r="Y25" s="5">
        <v>2.5000000000000001E-2</v>
      </c>
      <c r="Z25" s="5">
        <v>0.03</v>
      </c>
      <c r="AA25" s="5">
        <v>3.5000000000000003E-2</v>
      </c>
    </row>
    <row r="26" spans="1:27">
      <c r="L26" s="5">
        <v>0.06</v>
      </c>
      <c r="M26" s="46">
        <f>M13-$B$8</f>
        <v>2736236.4029430836</v>
      </c>
      <c r="N26" s="22">
        <f>N13-$B$8</f>
        <v>3032661.294027532</v>
      </c>
      <c r="O26" s="22">
        <f>O13-$B$8</f>
        <v>3413779.0111361081</v>
      </c>
      <c r="P26" s="22">
        <f>P13-$B$8</f>
        <v>3921935.9672808754</v>
      </c>
      <c r="Q26" s="28">
        <f>Q13-$B$8</f>
        <v>4633355.7058835514</v>
      </c>
      <c r="V26" s="5">
        <v>0.06</v>
      </c>
      <c r="W26" s="62">
        <f>W13/$H$37-1</f>
        <v>-0.42167113528516342</v>
      </c>
      <c r="X26" s="63">
        <f>X13/$H$37-1</f>
        <v>-0.35901899362456069</v>
      </c>
      <c r="Y26" s="63">
        <f>Y13/$H$37-1</f>
        <v>-0.27846624006092879</v>
      </c>
      <c r="Z26" s="63">
        <f>Z13/$H$37-1</f>
        <v>-0.17106256864275304</v>
      </c>
      <c r="AA26" s="64">
        <f>AA13/$H$37-1</f>
        <v>-2.0697428657306505E-2</v>
      </c>
    </row>
    <row r="27" spans="1:27">
      <c r="L27" s="5">
        <v>7.0000000000000007E-2</v>
      </c>
      <c r="M27" s="47">
        <f>M14-$B$8</f>
        <v>2223747.6167150862</v>
      </c>
      <c r="N27" s="30">
        <f>N14-$B$8</f>
        <v>2410619.0129762786</v>
      </c>
      <c r="O27" s="30">
        <f>O14-$B$8</f>
        <v>2639017.3861844032</v>
      </c>
      <c r="P27" s="30">
        <f>P14-$B$8</f>
        <v>2924515.352694558</v>
      </c>
      <c r="Q27" s="40">
        <f>Q14-$B$8</f>
        <v>3291584.1667790436</v>
      </c>
      <c r="V27" s="5">
        <v>7.0000000000000007E-2</v>
      </c>
      <c r="W27" s="42">
        <f>W14/$H$37-1</f>
        <v>-0.52999037904623969</v>
      </c>
      <c r="X27" s="39">
        <f>X14/$H$37-1</f>
        <v>-0.49049338151665167</v>
      </c>
      <c r="Y27" s="39">
        <f>Y14/$H$37-1</f>
        <v>-0.44221927342493295</v>
      </c>
      <c r="Z27" s="39">
        <f>Z14/$H$37-1</f>
        <v>-0.38187663831028473</v>
      </c>
      <c r="AA27" s="65">
        <f>AA14/$H$37-1</f>
        <v>-0.30429325030573673</v>
      </c>
    </row>
    <row r="28" spans="1:27" ht="27.75" customHeight="1">
      <c r="K28" s="72" t="s">
        <v>69</v>
      </c>
      <c r="L28" s="45">
        <v>0.08</v>
      </c>
      <c r="M28" s="47">
        <f>M15-$B$8</f>
        <v>1869051.3615504971</v>
      </c>
      <c r="N28" s="30">
        <f>N15-$B$8</f>
        <v>1996006.7112703142</v>
      </c>
      <c r="O28" s="44">
        <f>O15-$B$8</f>
        <v>2146044.8518482796</v>
      </c>
      <c r="P28" s="30">
        <f>P15-$B$8</f>
        <v>2326090.6205418375</v>
      </c>
      <c r="Q28" s="40">
        <f>Q15-$B$8</f>
        <v>2546146.5600561872</v>
      </c>
      <c r="U28" s="72" t="s">
        <v>69</v>
      </c>
      <c r="V28" s="5">
        <v>0.08</v>
      </c>
      <c r="W28" s="42">
        <f>W15/$H$37-1</f>
        <v>-0.60495871231865095</v>
      </c>
      <c r="X28" s="39">
        <f>X15/$H$37-1</f>
        <v>-0.57812552524681582</v>
      </c>
      <c r="Y28" s="38">
        <f>Y15/$H$37-1</f>
        <v>-0.54641357688919268</v>
      </c>
      <c r="Z28" s="39">
        <f>Z15/$H$37-1</f>
        <v>-0.50835923886004486</v>
      </c>
      <c r="AA28" s="65">
        <f>AA15/$H$37-1</f>
        <v>-0.46184838126886407</v>
      </c>
    </row>
    <row r="29" spans="1:27" ht="21.75">
      <c r="A29" s="26" t="s">
        <v>51</v>
      </c>
      <c r="F29" s="26" t="s">
        <v>57</v>
      </c>
      <c r="K29" s="72" t="s">
        <v>68</v>
      </c>
      <c r="L29" s="5">
        <v>0.09</v>
      </c>
      <c r="M29" s="47">
        <f>M16-$B$8</f>
        <v>1609026.5345721277</v>
      </c>
      <c r="N29" s="30">
        <f>N16-$B$8</f>
        <v>1699922.6534577371</v>
      </c>
      <c r="O29" s="30">
        <f>O16-$B$8</f>
        <v>1804802.79063344</v>
      </c>
      <c r="P29" s="30">
        <f>P16-$B$8</f>
        <v>1927162.9506717608</v>
      </c>
      <c r="Q29" s="40">
        <f>Q16-$B$8</f>
        <v>2071770.4125352306</v>
      </c>
      <c r="U29" s="72" t="s">
        <v>68</v>
      </c>
      <c r="V29" s="5">
        <v>0.09</v>
      </c>
      <c r="W29" s="42">
        <f>W16/$H$37-1</f>
        <v>-0.6599173638526793</v>
      </c>
      <c r="X29" s="39">
        <f>X16/$H$37-1</f>
        <v>-0.64070562864385106</v>
      </c>
      <c r="Y29" s="39">
        <f>Y16/$H$37-1</f>
        <v>-0.61853824186443385</v>
      </c>
      <c r="Z29" s="39">
        <f>Z16/$H$37-1</f>
        <v>-0.5926762906217804</v>
      </c>
      <c r="AA29" s="65">
        <f>AA16/$H$37-1</f>
        <v>-0.5621121664259171</v>
      </c>
    </row>
    <row r="30" spans="1:27">
      <c r="A30" s="19" t="s">
        <v>52</v>
      </c>
      <c r="B30" s="22">
        <f>SUM(B12:F12)</f>
        <v>500000.13971033989</v>
      </c>
      <c r="C30" s="23">
        <f>B30/$B$32</f>
        <v>0.22637061622023505</v>
      </c>
      <c r="F30" s="19" t="s">
        <v>45</v>
      </c>
      <c r="G30" s="32"/>
      <c r="H30" s="36">
        <f>C38</f>
        <v>2146044.8518482796</v>
      </c>
      <c r="L30" s="5">
        <v>0.1</v>
      </c>
      <c r="M30" s="48">
        <f>M17-$B$8</f>
        <v>1410256.2824364693</v>
      </c>
      <c r="N30" s="24">
        <f>N17-$B$8</f>
        <v>1477916.1248267277</v>
      </c>
      <c r="O30" s="24">
        <f>O17-$B$8</f>
        <v>1554597.2795356871</v>
      </c>
      <c r="P30" s="24">
        <f>P17-$B$8</f>
        <v>1642232.8849173549</v>
      </c>
      <c r="Q30" s="29">
        <f>Q17-$B$8</f>
        <v>1743350.8911269719</v>
      </c>
      <c r="V30" s="5">
        <v>0.1</v>
      </c>
      <c r="W30" s="66">
        <f>W17/$H$37-1</f>
        <v>-0.70192929459559772</v>
      </c>
      <c r="X30" s="67">
        <f>X17/$H$37-1</f>
        <v>-0.68762876128120465</v>
      </c>
      <c r="Y30" s="67">
        <f>Y17/$H$37-1</f>
        <v>-0.67142149019155895</v>
      </c>
      <c r="Z30" s="67">
        <f>Z17/$H$37-1</f>
        <v>-0.65289889466053552</v>
      </c>
      <c r="AA30" s="37">
        <f>AA17/$H$37-1</f>
        <v>-0.63152666904781607</v>
      </c>
    </row>
    <row r="31" spans="1:27">
      <c r="A31" s="20" t="s">
        <v>54</v>
      </c>
      <c r="B31" s="24">
        <f>F14</f>
        <v>1708767.7121379396</v>
      </c>
      <c r="C31" s="25">
        <f>B31/$B$32</f>
        <v>0.77362938377976487</v>
      </c>
      <c r="F31" s="20" t="s">
        <v>59</v>
      </c>
      <c r="G31" s="27"/>
      <c r="H31" s="35">
        <f>B6</f>
        <v>15004697</v>
      </c>
    </row>
    <row r="32" spans="1:27">
      <c r="A32" s="21" t="s">
        <v>55</v>
      </c>
      <c r="B32" s="24">
        <f>SUM(B30:B31)</f>
        <v>2208767.8518482796</v>
      </c>
      <c r="C32" s="25">
        <f>B32/$B$32</f>
        <v>1</v>
      </c>
      <c r="F32" s="21" t="s">
        <v>62</v>
      </c>
      <c r="G32" s="33" t="s">
        <v>60</v>
      </c>
      <c r="H32" s="31">
        <f>H30/H31*1000</f>
        <v>143.02487093529976</v>
      </c>
    </row>
    <row r="35" spans="1:8">
      <c r="A35" s="26" t="s">
        <v>58</v>
      </c>
      <c r="F35" s="26" t="s">
        <v>61</v>
      </c>
    </row>
    <row r="36" spans="1:8">
      <c r="A36" s="19" t="s">
        <v>55</v>
      </c>
      <c r="B36" s="32"/>
      <c r="C36" s="28">
        <f>B32</f>
        <v>2208767.8518482796</v>
      </c>
      <c r="F36" s="19" t="s">
        <v>62</v>
      </c>
      <c r="G36" s="32" t="s">
        <v>60</v>
      </c>
      <c r="H36" s="68">
        <f>H32</f>
        <v>143.02487093529976</v>
      </c>
    </row>
    <row r="37" spans="1:8">
      <c r="A37" s="20" t="s">
        <v>56</v>
      </c>
      <c r="B37" s="27"/>
      <c r="C37" s="34">
        <f>-62723</f>
        <v>-62723</v>
      </c>
      <c r="F37" s="20" t="s">
        <v>63</v>
      </c>
      <c r="G37" s="27" t="s">
        <v>60</v>
      </c>
      <c r="H37" s="69">
        <f>315.32</f>
        <v>315.32</v>
      </c>
    </row>
    <row r="38" spans="1:8">
      <c r="A38" s="21" t="s">
        <v>45</v>
      </c>
      <c r="B38" s="33"/>
      <c r="C38" s="29">
        <f>SUM(C36:C37)</f>
        <v>2146044.8518482796</v>
      </c>
      <c r="F38" s="21" t="s">
        <v>64</v>
      </c>
      <c r="G38" s="33"/>
      <c r="H38" s="37">
        <f>(H36-H37)/H37</f>
        <v>-0.54641357688919268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Historical Data </vt:lpstr>
      <vt:lpstr>Forecast </vt:lpstr>
      <vt:lpstr>DCF &amp; 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jingtaos</dc:creator>
  <cp:lastModifiedBy>jingtaos</cp:lastModifiedBy>
  <dcterms:created xsi:type="dcterms:W3CDTF">2026-07-10T23:38:08Z</dcterms:created>
  <dcterms:modified xsi:type="dcterms:W3CDTF">2026-07-11T02:42:07Z</dcterms:modified>
</cp:coreProperties>
</file>